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ocuments\GitHub\instrument-maker\docs\"/>
    </mc:Choice>
  </mc:AlternateContent>
  <xr:revisionPtr revIDLastSave="0" documentId="8_{15B4FD0A-AD6E-4FB0-96CE-FE9B0492A318}" xr6:coauthVersionLast="47" xr6:coauthVersionMax="47" xr10:uidLastSave="{00000000-0000-0000-0000-000000000000}"/>
  <bookViews>
    <workbookView xWindow="7650" yWindow="3660" windowWidth="33480" windowHeight="31080" xr2:uid="{77E8CC07-1921-4F64-8875-2511F72062F0}"/>
  </bookViews>
  <sheets>
    <sheet name="Ocar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1" i="1" l="1"/>
  <c r="D50" i="1"/>
  <c r="D49" i="1"/>
  <c r="D48" i="1"/>
  <c r="D47" i="1"/>
  <c r="D46" i="1"/>
  <c r="D45" i="1"/>
  <c r="D44" i="1"/>
  <c r="D43" i="1"/>
  <c r="D42" i="1"/>
  <c r="D41" i="1"/>
  <c r="D40" i="1"/>
  <c r="B30" i="1"/>
  <c r="B31" i="1" s="1"/>
  <c r="B29" i="1"/>
  <c r="B32" i="1" s="1"/>
  <c r="B10" i="1"/>
  <c r="E39" i="1" s="1"/>
  <c r="E40" i="1" l="1"/>
  <c r="F39" i="1"/>
  <c r="B34" i="1"/>
  <c r="B33" i="1"/>
  <c r="F40" i="1" l="1"/>
  <c r="E41" i="1"/>
  <c r="E42" i="1" l="1"/>
  <c r="F41" i="1"/>
  <c r="E43" i="1" l="1"/>
  <c r="F42" i="1"/>
  <c r="E44" i="1" l="1"/>
  <c r="F43" i="1"/>
  <c r="E45" i="1" l="1"/>
  <c r="F44" i="1"/>
  <c r="E46" i="1" l="1"/>
  <c r="F45" i="1"/>
  <c r="E47" i="1" l="1"/>
  <c r="F46" i="1"/>
  <c r="E48" i="1" l="1"/>
  <c r="F47" i="1"/>
  <c r="F48" i="1" l="1"/>
  <c r="E49" i="1"/>
  <c r="E50" i="1" l="1"/>
  <c r="F49" i="1"/>
  <c r="E51" i="1" l="1"/>
  <c r="F51" i="1" s="1"/>
  <c r="F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Koop</author>
  </authors>
  <commentList>
    <comment ref="B6" authorId="0" shapeId="0" xr:uid="{90D926D9-D984-44C1-8788-BD8983BD22A5}">
      <text>
        <r>
          <rPr>
            <b/>
            <sz val="9"/>
            <color indexed="81"/>
            <rFont val="Tahoma"/>
            <family val="2"/>
          </rPr>
          <t>Tony Koop:</t>
        </r>
        <r>
          <rPr>
            <sz val="9"/>
            <color indexed="81"/>
            <rFont val="Tahoma"/>
            <family val="2"/>
          </rPr>
          <t xml:space="preserve">
Measured by filling finished body with water. Adjust for clay shrinkage.</t>
        </r>
      </text>
    </comment>
  </commentList>
</comments>
</file>

<file path=xl/sharedStrings.xml><?xml version="1.0" encoding="utf-8"?>
<sst xmlns="http://schemas.openxmlformats.org/spreadsheetml/2006/main" count="254" uniqueCount="248">
  <si>
    <t>Ocarina — Helmholtz Vessel Flute + Ceramic Slip Casting Workflow</t>
  </si>
  <si>
    <t>12-Hole Transverse · Helmholtz Resonator: f = (c/2π)√(S/(V×L_eff)) · Pitch = f(open hole area / chamber volume) · 3D Print → Plaster Mold → Slip Cast</t>
  </si>
  <si>
    <t>DESIGN INPUTS</t>
  </si>
  <si>
    <t>Ocarina Type</t>
  </si>
  <si>
    <t>Alto C (12-hole)</t>
  </si>
  <si>
    <t>← Most popular; good range, comfortable size</t>
  </si>
  <si>
    <t>Chamber Volume (cm³)</t>
  </si>
  <si>
    <t>← Measured by water fill; 130 cm³ typical for Alto C</t>
  </si>
  <si>
    <t>Wall Thickness (cm)</t>
  </si>
  <si>
    <t>← 3-5 mm; thinner = brighter; thicker = warmer</t>
  </si>
  <si>
    <t>Voicing Window W (cm)</t>
  </si>
  <si>
    <t>← Width of the fipple windway opening</t>
  </si>
  <si>
    <t>Voicing Window H (cm)</t>
  </si>
  <si>
    <t>← Height of the fipple windway opening</t>
  </si>
  <si>
    <t>Voicing Area (cm²)</t>
  </si>
  <si>
    <t>← = W × H (formula)</t>
  </si>
  <si>
    <t>Speed of Sound (cm/s)</t>
  </si>
  <si>
    <t>← 343 m/s at 20°C; warm breath ≈ 35000</t>
  </si>
  <si>
    <t>Number of Finger Holes</t>
  </si>
  <si>
    <t>Clay Body</t>
  </si>
  <si>
    <t>Stoneware (Cone 6)</t>
  </si>
  <si>
    <t>← Stoneware, porcelain, or earthenware</t>
  </si>
  <si>
    <t>Shrinkage Rate (%)</t>
  </si>
  <si>
    <t>← 10-15% typical; measure YOUR clay body</t>
  </si>
  <si>
    <t>Target Low Note</t>
  </si>
  <si>
    <t>A4 (440 Hz)</t>
  </si>
  <si>
    <t>Target High Note</t>
  </si>
  <si>
    <t>F6 (1397 Hz)</t>
  </si>
  <si>
    <t>OCARINA SIZE LIBRARY</t>
  </si>
  <si>
    <t>Type</t>
  </si>
  <si>
    <t>Vol (cm³)</t>
  </si>
  <si>
    <t>Range</t>
  </si>
  <si>
    <t>Length (in)</t>
  </si>
  <si>
    <t>Holes</t>
  </si>
  <si>
    <t>Best For</t>
  </si>
  <si>
    <t>Soprano G</t>
  </si>
  <si>
    <t>G5-E7</t>
  </si>
  <si>
    <t>Bright, piccolo-like; tiny</t>
  </si>
  <si>
    <t>Soprano F</t>
  </si>
  <si>
    <t>F5-D7</t>
  </si>
  <si>
    <t>High, sweet tone</t>
  </si>
  <si>
    <t>Soprano C</t>
  </si>
  <si>
    <t>C5-A6</t>
  </si>
  <si>
    <t>Good starter size</t>
  </si>
  <si>
    <t>Alto C ⭐</t>
  </si>
  <si>
    <t>A4-F6</t>
  </si>
  <si>
    <t>MOST POPULAR; rich tone; art fair best seller</t>
  </si>
  <si>
    <t>Alto G</t>
  </si>
  <si>
    <t>G4-E6</t>
  </si>
  <si>
    <t>Warm, mellow; orchestra sub-bass</t>
  </si>
  <si>
    <t>Alto F</t>
  </si>
  <si>
    <t>F4-D6</t>
  </si>
  <si>
    <t>Deep, breathy; large hands needed</t>
  </si>
  <si>
    <t>Bass C</t>
  </si>
  <si>
    <t>C4-A5</t>
  </si>
  <si>
    <t>Very deep; requires strong breath; impressive</t>
  </si>
  <si>
    <t>HELMHOLTZ CALCULATOR — Lowest Note (All Holes Closed)</t>
  </si>
  <si>
    <t>Voicing Area S (cm²)</t>
  </si>
  <si>
    <t>End Correction (cm)</t>
  </si>
  <si>
    <t>Effective Neck Length L_eff (cm)</t>
  </si>
  <si>
    <t>Helmholtz Frequency (Hz)</t>
  </si>
  <si>
    <t>← Adjust voicing area and volume to hit target low note</t>
  </si>
  <si>
    <t>Nearest Note</t>
  </si>
  <si>
    <t>Cents from Target A4</t>
  </si>
  <si>
    <t>cents (0 = perfect A4; negative = flat)</t>
  </si>
  <si>
    <t>12-HOLE FINGERING CHART — Hole Sizes &amp; Calculated Frequencies</t>
  </si>
  <si>
    <t>← Hole diameters (column C) are BLUE INPUTS. Adjust to tune each note. Open holes cumulatively from bottom.</t>
  </si>
  <si>
    <t>#</t>
  </si>
  <si>
    <t>Note</t>
  </si>
  <si>
    <t>Hole Ø (mm)</t>
  </si>
  <si>
    <t>Hole Area (cm²)</t>
  </si>
  <si>
    <t>Cum. Open Area</t>
  </si>
  <si>
    <t>Calc Freq (Hz)</t>
  </si>
  <si>
    <t>Target Freq</t>
  </si>
  <si>
    <t>Hand</t>
  </si>
  <si>
    <t>A4 (all closed)</t>
  </si>
  <si>
    <t>—</t>
  </si>
  <si>
    <t>Bb4</t>
  </si>
  <si>
    <t>R pinky</t>
  </si>
  <si>
    <t>B4</t>
  </si>
  <si>
    <t>R ring</t>
  </si>
  <si>
    <t>C5</t>
  </si>
  <si>
    <t>R middle</t>
  </si>
  <si>
    <t>C#5</t>
  </si>
  <si>
    <t>R index</t>
  </si>
  <si>
    <t>D5</t>
  </si>
  <si>
    <t>L pinky</t>
  </si>
  <si>
    <t>D#5</t>
  </si>
  <si>
    <t>L ring</t>
  </si>
  <si>
    <t>E5</t>
  </si>
  <si>
    <t>L middle</t>
  </si>
  <si>
    <t>F5</t>
  </si>
  <si>
    <t>L index</t>
  </si>
  <si>
    <t>F#5</t>
  </si>
  <si>
    <t>R sub-hole</t>
  </si>
  <si>
    <t>G5</t>
  </si>
  <si>
    <t>L sub-hole</t>
  </si>
  <si>
    <t>G#5</t>
  </si>
  <si>
    <t>R thumb</t>
  </si>
  <si>
    <t>A5+</t>
  </si>
  <si>
    <t>L thumb</t>
  </si>
  <si>
    <t>CERAMIC WORKFLOW — 3D Print → Plaster Mold → Slip Cast</t>
  </si>
  <si>
    <t>Phase</t>
  </si>
  <si>
    <t>Operation</t>
  </si>
  <si>
    <t>Tools / Materials</t>
  </si>
  <si>
    <t>Key Notes</t>
  </si>
  <si>
    <t>CAD</t>
  </si>
  <si>
    <t>Model ocarina body in SolidWorks as 2-piece split (top + bottom halves)</t>
  </si>
  <si>
    <t>SolidWorks / Fusion 360</t>
  </si>
  <si>
    <t>Scale UP by shrinkage factor (e.g. 112% for 12% shrinkage). Include fipple channel in top half.</t>
  </si>
  <si>
    <t>3D Print</t>
  </si>
  <si>
    <t>Print positive master (both halves) on FDM or resin printer</t>
  </si>
  <si>
    <t>FDM printer + PLA, or resin SLA</t>
  </si>
  <si>
    <t>Sand smooth to remove layer lines. Seal with lacquer or shellac.</t>
  </si>
  <si>
    <t>Mold Making</t>
  </si>
  <si>
    <t>Embed 3D print in plaster to create 2-part press mold (one for each half)</t>
  </si>
  <si>
    <t>Pottery plaster (#1), mold soap, cottle boards</t>
  </si>
  <si>
    <t>Plaster thickness 1.5-2 in around print. Dry 3+ days before use.</t>
  </si>
  <si>
    <t>Press Mold</t>
  </si>
  <si>
    <t>Press clay slabs into each mold half. Score edges, apply slip, join halves.</t>
  </si>
  <si>
    <t>Stoneware clay, slip, scoring tool</t>
  </si>
  <si>
    <t>Consistent wall thickness = consistent pitch. Target 4mm walls.</t>
  </si>
  <si>
    <t>Fipple</t>
  </si>
  <si>
    <t>Carve windway and labium (sound edge) into the mouthpiece area</t>
  </si>
  <si>
    <t>Needle tool, loop tool</t>
  </si>
  <si>
    <t>THE critical step. 45° labium angle. Windway 1-2mm gap. Test blow before drying.</t>
  </si>
  <si>
    <t>Punch finger holes using graduated drill bits or clay cutters</t>
  </si>
  <si>
    <t>Drill bits, hole punches, tuner</t>
  </si>
  <si>
    <t>Start SMALL — you can always enlarge. Use hole Ø from chart above. Tune wet.</t>
  </si>
  <si>
    <t>Dry</t>
  </si>
  <si>
    <t>Slow-dry in plastic bag for 3-7 days to prevent cracking</t>
  </si>
  <si>
    <t>Plastic bag, damp towel</t>
  </si>
  <si>
    <t>Even drying is critical — thin areas dry faster and crack.</t>
  </si>
  <si>
    <t>Bisque Fire</t>
  </si>
  <si>
    <t>Fire to Cone 06 (1828°F / 998°C) to harden clay body</t>
  </si>
  <si>
    <t>Kiln</t>
  </si>
  <si>
    <t>Clay shrinks to final size here. Pitch may shift — re-tune holes after.</t>
  </si>
  <si>
    <t>Tune</t>
  </si>
  <si>
    <t>Fine-tune each hole with diamond file or Dremel. Check with chromatic tuner.</t>
  </si>
  <si>
    <t>Diamond needle files, Dremel, tuner</t>
  </si>
  <si>
    <t>Enlarge holes to raise pitch (sharpen). Can add clay slip to shrink (flatten).</t>
  </si>
  <si>
    <t>Glaze</t>
  </si>
  <si>
    <t>Apply glaze to exterior only. Keep interior, holes, and fipple unglazed.</t>
  </si>
  <si>
    <t>Glaze, brush, wax resist</t>
  </si>
  <si>
    <t>Wax resist on holes + fipple BEFORE glazing. Glaze changes hole size slightly.</t>
  </si>
  <si>
    <t>Glaze Fire</t>
  </si>
  <si>
    <t>Fire to Cone 6 (2232°F / 1222°C) for stoneware; Cone 10 for porcelain</t>
  </si>
  <si>
    <t>Final shrinkage here. Re-check tuning after — may need very fine adjustment.</t>
  </si>
  <si>
    <t>Final Tune</t>
  </si>
  <si>
    <t>Last tuning pass with diamond files if needed</t>
  </si>
  <si>
    <t>Diamond files, tuner</t>
  </si>
  <si>
    <t>The fired ceramic is much harder to file — go slowly. Most ocarinas need this.</t>
  </si>
  <si>
    <t>BILL OF MATERIALS</t>
  </si>
  <si>
    <t>Item</t>
  </si>
  <si>
    <t>Qty</t>
  </si>
  <si>
    <t>Spec</t>
  </si>
  <si>
    <t>Notes</t>
  </si>
  <si>
    <t>Est. Cost</t>
  </si>
  <si>
    <t>3D print filament (master)</t>
  </si>
  <si>
    <t>~50g</t>
  </si>
  <si>
    <t>PLA or resin</t>
  </si>
  <si>
    <t>2-piece split master; sand and seal</t>
  </si>
  <si>
    <t>$2-5</t>
  </si>
  <si>
    <t>Pottery plaster (#1)</t>
  </si>
  <si>
    <t>10 lbs</t>
  </si>
  <si>
    <t>USG #1 Pottery Plaster</t>
  </si>
  <si>
    <t>Makes 2-3 mold sets; each set lasts 50-100 casts</t>
  </si>
  <si>
    <t>$15-25</t>
  </si>
  <si>
    <t>Stoneware slip or clay body</t>
  </si>
  <si>
    <t>25 lbs</t>
  </si>
  <si>
    <t>Cone 6 stoneware</t>
  </si>
  <si>
    <t>~0.5 lb per ocarina; 25 lbs = 50+ ocarinas</t>
  </si>
  <si>
    <t>$20-35</t>
  </si>
  <si>
    <t>Glazes (assorted)</t>
  </si>
  <si>
    <t>3-5 pints</t>
  </si>
  <si>
    <t>Cone 6 food-safe glazes</t>
  </si>
  <si>
    <t>Exterior decoration; multiple colors for variety</t>
  </si>
  <si>
    <t>$30-60</t>
  </si>
  <si>
    <t>Diamond needle files</t>
  </si>
  <si>
    <t>1 set</t>
  </si>
  <si>
    <t>Assorted shapes</t>
  </si>
  <si>
    <t>For post-fire hole tuning</t>
  </si>
  <si>
    <t>$10-20</t>
  </si>
  <si>
    <t>Chromatic tuner</t>
  </si>
  <si>
    <t>Clip-on or app</t>
  </si>
  <si>
    <t>Essential for hole tuning; need cent accuracy</t>
  </si>
  <si>
    <t>$15-30</t>
  </si>
  <si>
    <t>Mold soap / release</t>
  </si>
  <si>
    <t>Murphy's oil soap or mold soap</t>
  </si>
  <si>
    <t>Apply to 3D print before plaster pour</t>
  </si>
  <si>
    <t>$5-10</t>
  </si>
  <si>
    <t>Kiln firing (outsource)</t>
  </si>
  <si>
    <t>Per load</t>
  </si>
  <si>
    <t>Bisque + glaze fire</t>
  </si>
  <si>
    <t>Community kiln at Maker Nexus or ceramics studio</t>
  </si>
  <si>
    <t>$20-50/load</t>
  </si>
  <si>
    <t>ESTIMATED TOTAL (startup)</t>
  </si>
  <si>
    <t>$117-235</t>
  </si>
  <si>
    <t>Cost per ocarina (after startup)</t>
  </si>
  <si>
    <t>← Sell at $25-60 each at art fairs</t>
  </si>
  <si>
    <t>$3-8</t>
  </si>
  <si>
    <t>DESIGN NOTES</t>
  </si>
  <si>
    <t>1. PITCH = OPEN AREA / VOLUME. Unlike flutes, hole LOCATION doesn't matter — only total open area. This is the Helmholtz advantage.</t>
  </si>
  <si>
    <t>2. Clay shrinkage changes volume AND hole sizes. Scale the 3D master UP by your shrinkage rate. Expect 2-3 iterations before good tuning.</t>
  </si>
  <si>
    <t>3. The fipple (windway + labium) is the hardest part. Practice on test pieces before committing to a glazed ocarina.</t>
  </si>
  <si>
    <t>4. Start holes SMALL and enlarge to tune. Easier to remove clay than add it. Diamond files after firing are your friend.</t>
  </si>
  <si>
    <t>5. Each mold set produces 50-100 ocarinas before wearing out. At $3-8 per piece and $25-60 selling price, the margins are excellent.</t>
  </si>
  <si>
    <t>6. ALTERNATIVE: Skip the mold entirely and hand-build (pinch pot method). Faster for prototyping, slower for production.</t>
  </si>
  <si>
    <t>7. Porcelain produces a brighter, more projecting tone than stoneware. But porcelain is harder to work with (more warping, higher shrinkage).</t>
  </si>
  <si>
    <t>8. The transparent glaze on exterior + unglazed interior is traditional. Some makers leave the whole exterior unglazed for a more earthy tone.</t>
  </si>
  <si>
    <t>9. ART FAIR PRICING: Alto C ocarina in glazed stoneware with custom artwork → $35-60. Soprano C (smaller, easier) → $25-40.</t>
  </si>
  <si>
    <t>10. SERIES CONCEPT: Offer 3 sizes (Soprano C, Alto C, Bass C) as a matched set with consistent glaze pattern. Premium gift box: $100-150.</t>
  </si>
  <si>
    <t>WOLFRAM CLOUD NOTEBOOK SPEC — OCARINA</t>
  </si>
  <si>
    <t>Helmholtz vessel flute — pitch from cavity volume + hole area, NOT pipe length.</t>
  </si>
  <si>
    <t>§1 — Origin &amp; Etymology</t>
  </si>
  <si>
    <t>Origin: ancient Mesoamerican (Maya, Aztec) clay vessel flutes; 5000+ years old. Modern European form codified 1853 by Giuseppe Donati (Budrio, Italy) — the 'sweet potato' shape.</t>
  </si>
  <si>
    <t>Ocarina' from Italian 'ocarina' (small goose). Donati's 7-piece family standardized; Asian variants (xun in China, hun in Korea) parallel ancient pottery flutes.</t>
  </si>
  <si>
    <t>Wolfram items: GeoGraphics Mesoamerica + Italy + East Asia; TimelinePlot[{−3000 Mesoamerica, ancient xun, 1853 Donati, 1998 Zelda Ocarina of Time, present}].</t>
  </si>
  <si>
    <t>§2 — Physics</t>
  </si>
  <si>
    <t>Helmholtz resonator: f = (c/2π)·√(A_open/(V·L_neck)). NOT a pipe — pitch depends on TOTAL open hole area, not which holes are open.</t>
  </si>
  <si>
    <t>Implication: any combination of holes giving same total area gives same pitch. Fingering systems exploit this for ergonomic note layouts.</t>
  </si>
  <si>
    <t>Wolfram functions: Helmholtz formula; Periodogram of recorded note; FindRoot for hole-area-from-target-pitch.</t>
  </si>
  <si>
    <t>§3 — Geometry &amp; Materials</t>
  </si>
  <si>
    <t>Sweet-potato shape (Donati): ~12 cm long, 5 cm wide. 12 holes typical for chromatic alto C. Fipple windway directs jet across edge.</t>
  </si>
  <si>
    <t>Materials: ceramic (slip-cast porcelain or stoneware). Alternatives: wood, plastic, metal.</t>
  </si>
  <si>
    <t>Wolfram items: Manipulate cavity volume + hole pattern → fingering chart; ParametricPlot3D vessel shape.</t>
  </si>
  <si>
    <t>§4 — Animations</t>
  </si>
  <si>
    <t>Hole-area-to-pitch Animate: open holes one by one in different orders → see same pitch reached by different orderings (the 'cross-fingering' phenomenon).</t>
  </si>
  <si>
    <t>Helmholtz pressure-pulsation Animate inside vessel.</t>
  </si>
  <si>
    <t>§5 — Executable Cells</t>
  </si>
  <si>
    <t>fOcarina[A_,V_,L_]:=(343/(2 π)) Sqrt[A/(V L)]</t>
  </si>
  <si>
    <t>areaFromPitch[f_,V_,L_]:=V L (2 π f / 343)^2</t>
  </si>
  <si>
    <t>fingeringAreaSum[holes_, pattern_]:= Total[holes[[Position[pattern, True]]]]</t>
  </si>
  <si>
    <t>§6 — Wolfram Functions</t>
  </si>
  <si>
    <t>Manipulate, Animate, NDSolve, FindRoot, Periodogram, GeoGraphics, CloudDeploy, FormFunction.</t>
  </si>
  <si>
    <t>WOLFRAM EXPLORATIONS — OCARINA</t>
  </si>
  <si>
    <t>Roadmap-inspired notebook ideas mapped to this instrument.</t>
  </si>
  <si>
    <t>Helmholtz physics</t>
  </si>
  <si>
    <t>→ Helmholtz Resonance Tuner (roadmap)</t>
  </si>
  <si>
    <t>The ocarina IS a Helmholtz resonator — perfect testbed. Manipulate cavity volume + total open-hole area → fundamental f. Show the 'any combination of holes giving same total area = same pitch' phenomenon visually.</t>
  </si>
  <si>
    <t>Cross-fingering visualizer: 12 holes × binary states → 4096 fingerings; group by total area; identify ergonomic alternatives for difficult passages.</t>
  </si>
  <si>
    <t>Cultural</t>
  </si>
  <si>
    <t>→ World Instrument Atlas (roadmap)</t>
  </si>
  <si>
    <t>Map Mesoamerica + Italy + East Asia ocarina lineages; click region for audio sample.</t>
  </si>
  <si>
    <t>Phylogeny: xun (China), hun (Korea), Mesoamerican vessel flutes, Donati Italian — family tree.</t>
  </si>
  <si>
    <t>CAD bridge</t>
  </si>
  <si>
    <t>→ Parametric → STL (roadmap)</t>
  </si>
  <si>
    <t>Sweet-potato shape parametric → STL for slip-cast master 3D-print. Account for 12% ceramic shrinkage in the master.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</si>
</sst>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rgb="FF000000"/>
      <name val="Arial"/>
      <family val="2"/>
    </font>
    <font>
      <b/>
      <sz val="14"/>
      <color rgb="FF000000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4"/>
      <color rgb="FFFFFFFF"/>
      <name val="Arial"/>
      <family val="2"/>
    </font>
    <font>
      <i/>
      <sz val="10"/>
      <color rgb="FF5C2D9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0" xfId="0" applyFont="1" applyFill="1"/>
    <xf numFmtId="1" fontId="4" fillId="3" borderId="0" xfId="0" applyNumberFormat="1" applyFont="1" applyFill="1"/>
    <xf numFmtId="164" fontId="4" fillId="3" borderId="0" xfId="0" applyNumberFormat="1" applyFont="1" applyFill="1"/>
    <xf numFmtId="2" fontId="4" fillId="3" borderId="0" xfId="0" applyNumberFormat="1" applyFont="1" applyFill="1"/>
    <xf numFmtId="165" fontId="0" fillId="0" borderId="0" xfId="0" applyNumberFormat="1"/>
    <xf numFmtId="3" fontId="4" fillId="3" borderId="0" xfId="0" applyNumberFormat="1" applyFont="1" applyFill="1"/>
    <xf numFmtId="0" fontId="3" fillId="4" borderId="0" xfId="0" applyFont="1" applyFill="1"/>
    <xf numFmtId="0" fontId="0" fillId="4" borderId="0" xfId="0" applyFill="1"/>
    <xf numFmtId="0" fontId="5" fillId="5" borderId="0" xfId="0" applyFont="1" applyFill="1"/>
    <xf numFmtId="16" fontId="0" fillId="0" borderId="0" xfId="0" applyNumberFormat="1"/>
    <xf numFmtId="0" fontId="3" fillId="6" borderId="0" xfId="0" applyFont="1" applyFill="1"/>
    <xf numFmtId="0" fontId="0" fillId="6" borderId="0" xfId="0" applyFill="1"/>
    <xf numFmtId="164" fontId="5" fillId="0" borderId="0" xfId="0" applyNumberFormat="1" applyFont="1"/>
    <xf numFmtId="0" fontId="5" fillId="0" borderId="0" xfId="0" applyFont="1"/>
    <xf numFmtId="1" fontId="0" fillId="0" borderId="0" xfId="0" applyNumberFormat="1"/>
    <xf numFmtId="0" fontId="3" fillId="7" borderId="0" xfId="0" applyFont="1" applyFill="1"/>
    <xf numFmtId="0" fontId="0" fillId="7" borderId="0" xfId="0" applyFill="1"/>
    <xf numFmtId="0" fontId="5" fillId="8" borderId="0" xfId="0" applyFont="1" applyFill="1"/>
    <xf numFmtId="164" fontId="0" fillId="0" borderId="0" xfId="0" applyNumberFormat="1"/>
    <xf numFmtId="0" fontId="3" fillId="9" borderId="0" xfId="0" applyFont="1" applyFill="1"/>
    <xf numFmtId="0" fontId="0" fillId="9" borderId="0" xfId="0" applyFill="1"/>
    <xf numFmtId="0" fontId="5" fillId="10" borderId="0" xfId="0" applyFont="1" applyFill="1"/>
    <xf numFmtId="0" fontId="5" fillId="11" borderId="0" xfId="0" applyFont="1" applyFill="1"/>
    <xf numFmtId="0" fontId="3" fillId="12" borderId="0" xfId="0" applyFont="1" applyFill="1"/>
    <xf numFmtId="0" fontId="0" fillId="12" borderId="0" xfId="0" applyFill="1"/>
    <xf numFmtId="0" fontId="6" fillId="13" borderId="0" xfId="0" applyFont="1" applyFill="1"/>
    <xf numFmtId="0" fontId="5" fillId="3" borderId="0" xfId="0" applyFont="1" applyFill="1"/>
    <xf numFmtId="0" fontId="0" fillId="0" borderId="0" xfId="0" quotePrefix="1"/>
    <xf numFmtId="0" fontId="6" fillId="14" borderId="0" xfId="0" applyFont="1" applyFill="1"/>
    <xf numFmtId="0" fontId="5" fillId="15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5044-4B86-44C6-AED2-A8C4D58F6D3A}">
  <dimension ref="A1:H141"/>
  <sheetViews>
    <sheetView tabSelected="1" workbookViewId="0">
      <pane ySplit="3" topLeftCell="A4" activePane="bottomLeft" state="frozen"/>
      <selection pane="bottomLeft" activeCell="L90" sqref="L90"/>
    </sheetView>
  </sheetViews>
  <sheetFormatPr defaultRowHeight="12.75" x14ac:dyDescent="0.2"/>
  <cols>
    <col min="1" max="1" width="19" customWidth="1"/>
    <col min="2" max="2" width="17" customWidth="1"/>
    <col min="3" max="3" width="9.7109375" customWidth="1"/>
    <col min="4" max="4" width="15.85546875" customWidth="1"/>
    <col min="5" max="5" width="9.28515625" customWidth="1"/>
    <col min="6" max="6" width="11" customWidth="1"/>
    <col min="7" max="7" width="9.140625" customWidth="1"/>
    <col min="8" max="8" width="9.85546875" bestFit="1" customWidth="1"/>
  </cols>
  <sheetData>
    <row r="1" spans="1:4" ht="18" x14ac:dyDescent="0.25">
      <c r="A1" s="1" t="s">
        <v>0</v>
      </c>
    </row>
    <row r="2" spans="1:4" x14ac:dyDescent="0.2">
      <c r="A2" s="2" t="s">
        <v>1</v>
      </c>
    </row>
    <row r="4" spans="1:4" ht="15" x14ac:dyDescent="0.25">
      <c r="A4" s="3" t="s">
        <v>2</v>
      </c>
      <c r="B4" s="4"/>
      <c r="C4" s="4"/>
      <c r="D4" s="4"/>
    </row>
    <row r="5" spans="1:4" x14ac:dyDescent="0.2">
      <c r="A5" t="s">
        <v>3</v>
      </c>
      <c r="B5" s="5" t="s">
        <v>4</v>
      </c>
      <c r="C5" t="s">
        <v>5</v>
      </c>
    </row>
    <row r="6" spans="1:4" x14ac:dyDescent="0.2">
      <c r="A6" t="s">
        <v>6</v>
      </c>
      <c r="B6" s="6">
        <v>130</v>
      </c>
      <c r="C6" t="s">
        <v>7</v>
      </c>
    </row>
    <row r="7" spans="1:4" x14ac:dyDescent="0.2">
      <c r="A7" t="s">
        <v>8</v>
      </c>
      <c r="B7" s="7">
        <v>0.4</v>
      </c>
      <c r="C7" t="s">
        <v>9</v>
      </c>
    </row>
    <row r="8" spans="1:4" x14ac:dyDescent="0.2">
      <c r="A8" t="s">
        <v>10</v>
      </c>
      <c r="B8" s="8">
        <v>0.9</v>
      </c>
      <c r="C8" t="s">
        <v>11</v>
      </c>
    </row>
    <row r="9" spans="1:4" x14ac:dyDescent="0.2">
      <c r="A9" t="s">
        <v>12</v>
      </c>
      <c r="B9" s="8">
        <v>0.5</v>
      </c>
      <c r="C9" t="s">
        <v>13</v>
      </c>
    </row>
    <row r="10" spans="1:4" x14ac:dyDescent="0.2">
      <c r="A10" t="s">
        <v>14</v>
      </c>
      <c r="B10" s="9">
        <f>B8*B9</f>
        <v>0.45</v>
      </c>
      <c r="C10" t="s">
        <v>15</v>
      </c>
    </row>
    <row r="11" spans="1:4" x14ac:dyDescent="0.2">
      <c r="A11" t="s">
        <v>16</v>
      </c>
      <c r="B11" s="10">
        <v>34300</v>
      </c>
      <c r="C11" t="s">
        <v>17</v>
      </c>
    </row>
    <row r="12" spans="1:4" x14ac:dyDescent="0.2">
      <c r="A12" t="s">
        <v>18</v>
      </c>
      <c r="B12" s="5">
        <v>12</v>
      </c>
    </row>
    <row r="13" spans="1:4" x14ac:dyDescent="0.2">
      <c r="A13" t="s">
        <v>19</v>
      </c>
      <c r="B13" s="5" t="s">
        <v>20</v>
      </c>
      <c r="C13" t="s">
        <v>21</v>
      </c>
    </row>
    <row r="14" spans="1:4" x14ac:dyDescent="0.2">
      <c r="A14" t="s">
        <v>22</v>
      </c>
      <c r="B14" s="6">
        <v>12</v>
      </c>
      <c r="C14" t="s">
        <v>23</v>
      </c>
    </row>
    <row r="15" spans="1:4" x14ac:dyDescent="0.2">
      <c r="A15" t="s">
        <v>24</v>
      </c>
      <c r="B15" s="5" t="s">
        <v>25</v>
      </c>
    </row>
    <row r="16" spans="1:4" x14ac:dyDescent="0.2">
      <c r="A16" t="s">
        <v>26</v>
      </c>
      <c r="B16" s="5" t="s">
        <v>27</v>
      </c>
    </row>
    <row r="18" spans="1:6" ht="15" x14ac:dyDescent="0.25">
      <c r="A18" s="11" t="s">
        <v>28</v>
      </c>
      <c r="B18" s="12"/>
      <c r="C18" s="12"/>
      <c r="D18" s="12"/>
      <c r="E18" s="12"/>
      <c r="F18" s="12"/>
    </row>
    <row r="19" spans="1:6" x14ac:dyDescent="0.2">
      <c r="A19" s="13" t="s">
        <v>29</v>
      </c>
      <c r="B19" s="13" t="s">
        <v>30</v>
      </c>
      <c r="C19" s="13" t="s">
        <v>31</v>
      </c>
      <c r="D19" s="13" t="s">
        <v>32</v>
      </c>
      <c r="E19" s="13" t="s">
        <v>33</v>
      </c>
      <c r="F19" s="13" t="s">
        <v>34</v>
      </c>
    </row>
    <row r="20" spans="1:6" x14ac:dyDescent="0.2">
      <c r="A20" t="s">
        <v>35</v>
      </c>
      <c r="B20">
        <v>50</v>
      </c>
      <c r="C20" t="s">
        <v>36</v>
      </c>
      <c r="D20" s="14">
        <v>46085</v>
      </c>
      <c r="E20">
        <v>12</v>
      </c>
      <c r="F20" t="s">
        <v>37</v>
      </c>
    </row>
    <row r="21" spans="1:6" x14ac:dyDescent="0.2">
      <c r="A21" t="s">
        <v>38</v>
      </c>
      <c r="B21">
        <v>65</v>
      </c>
      <c r="C21" t="s">
        <v>39</v>
      </c>
      <c r="D21" s="14">
        <v>46117</v>
      </c>
      <c r="E21">
        <v>12</v>
      </c>
      <c r="F21" t="s">
        <v>40</v>
      </c>
    </row>
    <row r="22" spans="1:6" x14ac:dyDescent="0.2">
      <c r="A22" t="s">
        <v>41</v>
      </c>
      <c r="B22">
        <v>80</v>
      </c>
      <c r="C22" t="s">
        <v>42</v>
      </c>
      <c r="D22" s="14">
        <v>46148</v>
      </c>
      <c r="E22">
        <v>12</v>
      </c>
      <c r="F22" t="s">
        <v>43</v>
      </c>
    </row>
    <row r="23" spans="1:6" x14ac:dyDescent="0.2">
      <c r="A23" t="s">
        <v>44</v>
      </c>
      <c r="B23">
        <v>130</v>
      </c>
      <c r="C23" t="s">
        <v>45</v>
      </c>
      <c r="D23" s="14">
        <v>46180</v>
      </c>
      <c r="E23">
        <v>12</v>
      </c>
      <c r="F23" t="s">
        <v>46</v>
      </c>
    </row>
    <row r="24" spans="1:6" x14ac:dyDescent="0.2">
      <c r="A24" t="s">
        <v>47</v>
      </c>
      <c r="B24">
        <v>200</v>
      </c>
      <c r="C24" t="s">
        <v>48</v>
      </c>
      <c r="D24" s="14">
        <v>46211</v>
      </c>
      <c r="E24">
        <v>12</v>
      </c>
      <c r="F24" t="s">
        <v>49</v>
      </c>
    </row>
    <row r="25" spans="1:6" x14ac:dyDescent="0.2">
      <c r="A25" t="s">
        <v>50</v>
      </c>
      <c r="B25">
        <v>250</v>
      </c>
      <c r="C25" t="s">
        <v>51</v>
      </c>
      <c r="D25" s="14">
        <v>46243</v>
      </c>
      <c r="E25">
        <v>12</v>
      </c>
      <c r="F25" t="s">
        <v>52</v>
      </c>
    </row>
    <row r="26" spans="1:6" x14ac:dyDescent="0.2">
      <c r="A26" t="s">
        <v>53</v>
      </c>
      <c r="B26">
        <v>500</v>
      </c>
      <c r="C26" t="s">
        <v>54</v>
      </c>
      <c r="D26" s="14">
        <v>46307</v>
      </c>
      <c r="E26">
        <v>12</v>
      </c>
      <c r="F26" t="s">
        <v>55</v>
      </c>
    </row>
    <row r="28" spans="1:6" ht="15" x14ac:dyDescent="0.25">
      <c r="A28" s="15" t="s">
        <v>56</v>
      </c>
      <c r="B28" s="16"/>
      <c r="C28" s="16"/>
      <c r="D28" s="16"/>
      <c r="E28" s="16"/>
    </row>
    <row r="29" spans="1:6" x14ac:dyDescent="0.2">
      <c r="A29" t="s">
        <v>57</v>
      </c>
      <c r="B29" s="9">
        <f>B10</f>
        <v>0.45</v>
      </c>
    </row>
    <row r="30" spans="1:6" x14ac:dyDescent="0.2">
      <c r="A30" t="s">
        <v>58</v>
      </c>
      <c r="B30" s="9">
        <f>0.6*SQRT(B29/PI())</f>
        <v>0.2270819269818144</v>
      </c>
    </row>
    <row r="31" spans="1:6" x14ac:dyDescent="0.2">
      <c r="A31" t="s">
        <v>59</v>
      </c>
      <c r="B31" s="9">
        <f>B7+B30</f>
        <v>0.62708192698181442</v>
      </c>
    </row>
    <row r="32" spans="1:6" x14ac:dyDescent="0.2">
      <c r="A32" t="s">
        <v>60</v>
      </c>
      <c r="B32" s="17">
        <f>(B11/(2*PI()))*SQRT(B29/(B6*B31))</f>
        <v>405.58948781661098</v>
      </c>
      <c r="C32" t="s">
        <v>61</v>
      </c>
    </row>
    <row r="33" spans="1:8" x14ac:dyDescent="0.2">
      <c r="A33" t="s">
        <v>62</v>
      </c>
      <c r="B33" s="18" t="str">
        <f>CHOOSE(MOD(ROUND(12*LOG(B32/440,2)+69,0),12)+1,"C","C#","D","D#","E","F","F#","G","G#","A","A#","B")&amp;INT(ROUND(12*LOG(B32/440,2)+69,0)/12-1)</f>
        <v>G#4</v>
      </c>
    </row>
    <row r="34" spans="1:8" x14ac:dyDescent="0.2">
      <c r="A34" t="s">
        <v>63</v>
      </c>
      <c r="B34" s="19">
        <f>1200*LOG(B32/440,2)</f>
        <v>-140.97991572408429</v>
      </c>
      <c r="C34" t="s">
        <v>64</v>
      </c>
    </row>
    <row r="36" spans="1:8" ht="15" x14ac:dyDescent="0.25">
      <c r="A36" s="20" t="s">
        <v>65</v>
      </c>
      <c r="B36" s="21"/>
      <c r="C36" s="21"/>
      <c r="D36" s="21"/>
      <c r="E36" s="21"/>
      <c r="F36" s="21"/>
      <c r="G36" s="21"/>
      <c r="H36" s="21"/>
    </row>
    <row r="37" spans="1:8" x14ac:dyDescent="0.2">
      <c r="A37" s="2" t="s">
        <v>66</v>
      </c>
    </row>
    <row r="38" spans="1:8" x14ac:dyDescent="0.2">
      <c r="A38" s="22" t="s">
        <v>67</v>
      </c>
      <c r="B38" s="22" t="s">
        <v>68</v>
      </c>
      <c r="C38" s="22" t="s">
        <v>69</v>
      </c>
      <c r="D38" s="22" t="s">
        <v>70</v>
      </c>
      <c r="E38" s="22" t="s">
        <v>71</v>
      </c>
      <c r="F38" s="22" t="s">
        <v>72</v>
      </c>
      <c r="G38" s="22" t="s">
        <v>73</v>
      </c>
      <c r="H38" s="22" t="s">
        <v>74</v>
      </c>
    </row>
    <row r="39" spans="1:8" x14ac:dyDescent="0.2">
      <c r="A39">
        <v>0</v>
      </c>
      <c r="B39" t="s">
        <v>75</v>
      </c>
      <c r="C39" t="s">
        <v>76</v>
      </c>
      <c r="D39" t="s">
        <v>76</v>
      </c>
      <c r="E39">
        <f>$B$10</f>
        <v>0.45</v>
      </c>
      <c r="F39" s="23">
        <f>($B$11/(2*PI()))*SQRT(E39/($B$6*($B$7+0.6*SQRT(E39/PI()))))</f>
        <v>405.58948781661098</v>
      </c>
      <c r="G39" s="23">
        <v>440</v>
      </c>
      <c r="H39" t="s">
        <v>76</v>
      </c>
    </row>
    <row r="40" spans="1:8" x14ac:dyDescent="0.2">
      <c r="A40">
        <v>1</v>
      </c>
      <c r="B40" t="s">
        <v>77</v>
      </c>
      <c r="C40" s="7">
        <v>5</v>
      </c>
      <c r="D40" s="9">
        <f>PI()*(C40/20)^2</f>
        <v>0.19634954084936207</v>
      </c>
      <c r="E40" s="9">
        <f>E39+D40</f>
        <v>0.64634954084936203</v>
      </c>
      <c r="F40" s="23">
        <f>($B$11/(2*PI()))*SQRT(E40/($B$6*($B$7+0.6*SQRT(E40/PI()))))</f>
        <v>469.50784433467771</v>
      </c>
      <c r="G40" s="23">
        <v>466.2</v>
      </c>
      <c r="H40" t="s">
        <v>78</v>
      </c>
    </row>
    <row r="41" spans="1:8" x14ac:dyDescent="0.2">
      <c r="A41">
        <v>2</v>
      </c>
      <c r="B41" t="s">
        <v>79</v>
      </c>
      <c r="C41" s="7">
        <v>5.5</v>
      </c>
      <c r="D41" s="9">
        <f>PI()*(C41/20)^2</f>
        <v>0.23758294442772815</v>
      </c>
      <c r="E41" s="9">
        <f>E40+D41</f>
        <v>0.88393248527709023</v>
      </c>
      <c r="F41" s="23">
        <f>($B$11/(2*PI()))*SQRT(E41/($B$6*($B$7+0.6*SQRT(E41/PI()))))</f>
        <v>531.14174959083562</v>
      </c>
      <c r="G41" s="23">
        <v>493.9</v>
      </c>
      <c r="H41" t="s">
        <v>80</v>
      </c>
    </row>
    <row r="42" spans="1:8" x14ac:dyDescent="0.2">
      <c r="A42">
        <v>3</v>
      </c>
      <c r="B42" t="s">
        <v>81</v>
      </c>
      <c r="C42" s="7">
        <v>6</v>
      </c>
      <c r="D42" s="9">
        <f t="shared" ref="D42:D51" si="0">PI()*(C42/20)^2</f>
        <v>0.28274333882308139</v>
      </c>
      <c r="E42" s="9">
        <f t="shared" ref="E42:E51" si="1">E41+D42</f>
        <v>1.1666758241001716</v>
      </c>
      <c r="F42" s="23">
        <f t="shared" ref="F42:F51" si="2">($B$11/(2*PI()))*SQRT(E42/($B$6*($B$7+0.6*SQRT(E42/PI()))))</f>
        <v>591.02508424967016</v>
      </c>
      <c r="G42" s="23">
        <v>523.29999999999995</v>
      </c>
      <c r="H42" t="s">
        <v>82</v>
      </c>
    </row>
    <row r="43" spans="1:8" x14ac:dyDescent="0.2">
      <c r="A43">
        <v>4</v>
      </c>
      <c r="B43" t="s">
        <v>83</v>
      </c>
      <c r="C43" s="7">
        <v>6</v>
      </c>
      <c r="D43" s="9">
        <f t="shared" si="0"/>
        <v>0.28274333882308139</v>
      </c>
      <c r="E43" s="9">
        <f t="shared" si="1"/>
        <v>1.4494191629232529</v>
      </c>
      <c r="F43" s="23">
        <f t="shared" si="2"/>
        <v>641.44109154767102</v>
      </c>
      <c r="G43" s="23">
        <v>554.4</v>
      </c>
      <c r="H43" t="s">
        <v>84</v>
      </c>
    </row>
    <row r="44" spans="1:8" x14ac:dyDescent="0.2">
      <c r="A44">
        <v>5</v>
      </c>
      <c r="B44" t="s">
        <v>85</v>
      </c>
      <c r="C44" s="7">
        <v>6.5</v>
      </c>
      <c r="D44" s="9">
        <f t="shared" si="0"/>
        <v>0.33183072403542191</v>
      </c>
      <c r="E44" s="9">
        <f t="shared" si="1"/>
        <v>1.7812498869586748</v>
      </c>
      <c r="F44" s="23">
        <f t="shared" si="2"/>
        <v>692.36988269819892</v>
      </c>
      <c r="G44" s="23">
        <v>587.29999999999995</v>
      </c>
      <c r="H44" t="s">
        <v>86</v>
      </c>
    </row>
    <row r="45" spans="1:8" x14ac:dyDescent="0.2">
      <c r="A45">
        <v>6</v>
      </c>
      <c r="B45" t="s">
        <v>87</v>
      </c>
      <c r="C45" s="7">
        <v>6.5</v>
      </c>
      <c r="D45" s="9">
        <f t="shared" si="0"/>
        <v>0.33183072403542191</v>
      </c>
      <c r="E45" s="9">
        <f t="shared" si="1"/>
        <v>2.1130806109940967</v>
      </c>
      <c r="F45" s="23">
        <f t="shared" si="2"/>
        <v>736.88392711957215</v>
      </c>
      <c r="G45" s="23">
        <v>622.29999999999995</v>
      </c>
      <c r="H45" t="s">
        <v>88</v>
      </c>
    </row>
    <row r="46" spans="1:8" x14ac:dyDescent="0.2">
      <c r="A46">
        <v>7</v>
      </c>
      <c r="B46" t="s">
        <v>89</v>
      </c>
      <c r="C46" s="7">
        <v>7</v>
      </c>
      <c r="D46" s="9">
        <f t="shared" si="0"/>
        <v>0.38484510006474959</v>
      </c>
      <c r="E46" s="9">
        <f t="shared" si="1"/>
        <v>2.4979257110588464</v>
      </c>
      <c r="F46" s="23">
        <f t="shared" si="2"/>
        <v>782.56967137615152</v>
      </c>
      <c r="G46" s="23">
        <v>659.3</v>
      </c>
      <c r="H46" t="s">
        <v>90</v>
      </c>
    </row>
    <row r="47" spans="1:8" x14ac:dyDescent="0.2">
      <c r="A47">
        <v>8</v>
      </c>
      <c r="B47" t="s">
        <v>91</v>
      </c>
      <c r="C47" s="7">
        <v>7</v>
      </c>
      <c r="D47" s="9">
        <f t="shared" si="0"/>
        <v>0.38484510006474959</v>
      </c>
      <c r="E47" s="9">
        <f t="shared" si="1"/>
        <v>2.8827708111235961</v>
      </c>
      <c r="F47" s="23">
        <f t="shared" si="2"/>
        <v>823.37998608405655</v>
      </c>
      <c r="G47" s="23">
        <v>698.5</v>
      </c>
      <c r="H47" t="s">
        <v>92</v>
      </c>
    </row>
    <row r="48" spans="1:8" x14ac:dyDescent="0.2">
      <c r="A48">
        <v>9</v>
      </c>
      <c r="B48" t="s">
        <v>93</v>
      </c>
      <c r="C48" s="7">
        <v>7.5</v>
      </c>
      <c r="D48" s="9">
        <f t="shared" si="0"/>
        <v>0.44178646691106466</v>
      </c>
      <c r="E48" s="9">
        <f t="shared" si="1"/>
        <v>3.3245572780346606</v>
      </c>
      <c r="F48" s="23">
        <f t="shared" si="2"/>
        <v>865.56773472437089</v>
      </c>
      <c r="G48" s="23">
        <v>740</v>
      </c>
      <c r="H48" t="s">
        <v>94</v>
      </c>
    </row>
    <row r="49" spans="1:8" x14ac:dyDescent="0.2">
      <c r="A49">
        <v>10</v>
      </c>
      <c r="B49" t="s">
        <v>95</v>
      </c>
      <c r="C49" s="7">
        <v>8</v>
      </c>
      <c r="D49" s="9">
        <f t="shared" si="0"/>
        <v>0.50265482457436694</v>
      </c>
      <c r="E49" s="9">
        <f t="shared" si="1"/>
        <v>3.8272121026090273</v>
      </c>
      <c r="F49" s="23">
        <f t="shared" si="2"/>
        <v>908.80736708348718</v>
      </c>
      <c r="G49" s="23">
        <v>784</v>
      </c>
      <c r="H49" t="s">
        <v>96</v>
      </c>
    </row>
    <row r="50" spans="1:8" x14ac:dyDescent="0.2">
      <c r="A50">
        <v>11</v>
      </c>
      <c r="B50" t="s">
        <v>97</v>
      </c>
      <c r="C50" s="7">
        <v>8.5</v>
      </c>
      <c r="D50" s="9">
        <f t="shared" si="0"/>
        <v>0.56745017305465628</v>
      </c>
      <c r="E50" s="9">
        <f t="shared" si="1"/>
        <v>4.3946622756636833</v>
      </c>
      <c r="F50" s="23">
        <f t="shared" si="2"/>
        <v>952.8267984841483</v>
      </c>
      <c r="G50" s="23">
        <v>830.6</v>
      </c>
      <c r="H50" t="s">
        <v>98</v>
      </c>
    </row>
    <row r="51" spans="1:8" x14ac:dyDescent="0.2">
      <c r="A51">
        <v>12</v>
      </c>
      <c r="B51" t="s">
        <v>99</v>
      </c>
      <c r="C51" s="7">
        <v>9</v>
      </c>
      <c r="D51" s="9">
        <f t="shared" si="0"/>
        <v>0.63617251235193317</v>
      </c>
      <c r="E51" s="9">
        <f t="shared" si="1"/>
        <v>5.0308347880156168</v>
      </c>
      <c r="F51" s="23">
        <f t="shared" si="2"/>
        <v>997.40208441587538</v>
      </c>
      <c r="G51" s="23">
        <v>880</v>
      </c>
      <c r="H51" t="s">
        <v>100</v>
      </c>
    </row>
    <row r="53" spans="1:8" ht="15" x14ac:dyDescent="0.25">
      <c r="A53" s="24" t="s">
        <v>101</v>
      </c>
      <c r="B53" s="25"/>
      <c r="C53" s="25"/>
      <c r="D53" s="25"/>
      <c r="E53" s="25"/>
      <c r="F53" s="25"/>
    </row>
    <row r="54" spans="1:8" x14ac:dyDescent="0.2">
      <c r="A54" s="26" t="s">
        <v>67</v>
      </c>
      <c r="B54" s="26" t="s">
        <v>102</v>
      </c>
      <c r="C54" s="26" t="s">
        <v>103</v>
      </c>
      <c r="D54" s="26" t="s">
        <v>104</v>
      </c>
      <c r="E54" s="26" t="s">
        <v>105</v>
      </c>
    </row>
    <row r="55" spans="1:8" x14ac:dyDescent="0.2">
      <c r="A55">
        <v>1</v>
      </c>
      <c r="B55" t="s">
        <v>106</v>
      </c>
      <c r="C55" t="s">
        <v>107</v>
      </c>
      <c r="D55" t="s">
        <v>108</v>
      </c>
      <c r="E55" t="s">
        <v>109</v>
      </c>
    </row>
    <row r="56" spans="1:8" x14ac:dyDescent="0.2">
      <c r="A56">
        <v>2</v>
      </c>
      <c r="B56" t="s">
        <v>110</v>
      </c>
      <c r="C56" t="s">
        <v>111</v>
      </c>
      <c r="D56" t="s">
        <v>112</v>
      </c>
      <c r="E56" t="s">
        <v>113</v>
      </c>
    </row>
    <row r="57" spans="1:8" x14ac:dyDescent="0.2">
      <c r="A57">
        <v>3</v>
      </c>
      <c r="B57" t="s">
        <v>114</v>
      </c>
      <c r="C57" t="s">
        <v>115</v>
      </c>
      <c r="D57" t="s">
        <v>116</v>
      </c>
      <c r="E57" t="s">
        <v>117</v>
      </c>
    </row>
    <row r="58" spans="1:8" x14ac:dyDescent="0.2">
      <c r="A58">
        <v>4</v>
      </c>
      <c r="B58" t="s">
        <v>118</v>
      </c>
      <c r="C58" t="s">
        <v>119</v>
      </c>
      <c r="D58" t="s">
        <v>120</v>
      </c>
      <c r="E58" t="s">
        <v>121</v>
      </c>
    </row>
    <row r="59" spans="1:8" x14ac:dyDescent="0.2">
      <c r="A59">
        <v>5</v>
      </c>
      <c r="B59" t="s">
        <v>122</v>
      </c>
      <c r="C59" t="s">
        <v>123</v>
      </c>
      <c r="D59" t="s">
        <v>124</v>
      </c>
      <c r="E59" t="s">
        <v>125</v>
      </c>
    </row>
    <row r="60" spans="1:8" x14ac:dyDescent="0.2">
      <c r="A60">
        <v>6</v>
      </c>
      <c r="B60" t="s">
        <v>33</v>
      </c>
      <c r="C60" t="s">
        <v>126</v>
      </c>
      <c r="D60" t="s">
        <v>127</v>
      </c>
      <c r="E60" t="s">
        <v>128</v>
      </c>
    </row>
    <row r="61" spans="1:8" x14ac:dyDescent="0.2">
      <c r="A61">
        <v>7</v>
      </c>
      <c r="B61" t="s">
        <v>129</v>
      </c>
      <c r="C61" t="s">
        <v>130</v>
      </c>
      <c r="D61" t="s">
        <v>131</v>
      </c>
      <c r="E61" t="s">
        <v>132</v>
      </c>
    </row>
    <row r="62" spans="1:8" x14ac:dyDescent="0.2">
      <c r="A62">
        <v>8</v>
      </c>
      <c r="B62" t="s">
        <v>133</v>
      </c>
      <c r="C62" t="s">
        <v>134</v>
      </c>
      <c r="D62" t="s">
        <v>135</v>
      </c>
      <c r="E62" t="s">
        <v>136</v>
      </c>
    </row>
    <row r="63" spans="1:8" x14ac:dyDescent="0.2">
      <c r="A63">
        <v>9</v>
      </c>
      <c r="B63" t="s">
        <v>137</v>
      </c>
      <c r="C63" t="s">
        <v>138</v>
      </c>
      <c r="D63" t="s">
        <v>139</v>
      </c>
      <c r="E63" t="s">
        <v>140</v>
      </c>
    </row>
    <row r="64" spans="1:8" x14ac:dyDescent="0.2">
      <c r="A64">
        <v>10</v>
      </c>
      <c r="B64" t="s">
        <v>141</v>
      </c>
      <c r="C64" t="s">
        <v>142</v>
      </c>
      <c r="D64" t="s">
        <v>143</v>
      </c>
      <c r="E64" t="s">
        <v>144</v>
      </c>
    </row>
    <row r="65" spans="1:6" x14ac:dyDescent="0.2">
      <c r="A65">
        <v>11</v>
      </c>
      <c r="B65" t="s">
        <v>145</v>
      </c>
      <c r="C65" t="s">
        <v>146</v>
      </c>
      <c r="D65" t="s">
        <v>135</v>
      </c>
      <c r="E65" t="s">
        <v>147</v>
      </c>
    </row>
    <row r="66" spans="1:6" x14ac:dyDescent="0.2">
      <c r="A66">
        <v>12</v>
      </c>
      <c r="B66" t="s">
        <v>148</v>
      </c>
      <c r="C66" t="s">
        <v>149</v>
      </c>
      <c r="D66" t="s">
        <v>150</v>
      </c>
      <c r="E66" t="s">
        <v>151</v>
      </c>
    </row>
    <row r="68" spans="1:6" ht="15" x14ac:dyDescent="0.25">
      <c r="A68" s="3" t="s">
        <v>152</v>
      </c>
      <c r="B68" s="4"/>
      <c r="C68" s="4"/>
      <c r="D68" s="4"/>
      <c r="E68" s="4"/>
      <c r="F68" s="4"/>
    </row>
    <row r="69" spans="1:6" x14ac:dyDescent="0.2">
      <c r="A69" s="27" t="s">
        <v>67</v>
      </c>
      <c r="B69" s="27" t="s">
        <v>153</v>
      </c>
      <c r="C69" s="27" t="s">
        <v>154</v>
      </c>
      <c r="D69" s="27" t="s">
        <v>155</v>
      </c>
      <c r="E69" s="27" t="s">
        <v>156</v>
      </c>
      <c r="F69" s="27" t="s">
        <v>157</v>
      </c>
    </row>
    <row r="70" spans="1:6" x14ac:dyDescent="0.2">
      <c r="A70">
        <v>1</v>
      </c>
      <c r="B70" t="s">
        <v>158</v>
      </c>
      <c r="C70" t="s">
        <v>159</v>
      </c>
      <c r="D70" t="s">
        <v>160</v>
      </c>
      <c r="E70" t="s">
        <v>161</v>
      </c>
      <c r="F70" t="s">
        <v>162</v>
      </c>
    </row>
    <row r="71" spans="1:6" x14ac:dyDescent="0.2">
      <c r="A71">
        <v>2</v>
      </c>
      <c r="B71" t="s">
        <v>163</v>
      </c>
      <c r="C71" t="s">
        <v>164</v>
      </c>
      <c r="D71" t="s">
        <v>165</v>
      </c>
      <c r="E71" t="s">
        <v>166</v>
      </c>
      <c r="F71" t="s">
        <v>167</v>
      </c>
    </row>
    <row r="72" spans="1:6" x14ac:dyDescent="0.2">
      <c r="A72">
        <v>3</v>
      </c>
      <c r="B72" t="s">
        <v>168</v>
      </c>
      <c r="C72" t="s">
        <v>169</v>
      </c>
      <c r="D72" t="s">
        <v>170</v>
      </c>
      <c r="E72" t="s">
        <v>171</v>
      </c>
      <c r="F72" t="s">
        <v>172</v>
      </c>
    </row>
    <row r="73" spans="1:6" x14ac:dyDescent="0.2">
      <c r="A73">
        <v>4</v>
      </c>
      <c r="B73" t="s">
        <v>173</v>
      </c>
      <c r="C73" t="s">
        <v>174</v>
      </c>
      <c r="D73" t="s">
        <v>175</v>
      </c>
      <c r="E73" t="s">
        <v>176</v>
      </c>
      <c r="F73" t="s">
        <v>177</v>
      </c>
    </row>
    <row r="74" spans="1:6" x14ac:dyDescent="0.2">
      <c r="A74">
        <v>5</v>
      </c>
      <c r="B74" t="s">
        <v>178</v>
      </c>
      <c r="C74" t="s">
        <v>179</v>
      </c>
      <c r="D74" t="s">
        <v>180</v>
      </c>
      <c r="E74" t="s">
        <v>181</v>
      </c>
      <c r="F74" t="s">
        <v>182</v>
      </c>
    </row>
    <row r="75" spans="1:6" x14ac:dyDescent="0.2">
      <c r="A75">
        <v>6</v>
      </c>
      <c r="B75" t="s">
        <v>183</v>
      </c>
      <c r="C75">
        <v>1</v>
      </c>
      <c r="D75" t="s">
        <v>184</v>
      </c>
      <c r="E75" t="s">
        <v>185</v>
      </c>
      <c r="F75" t="s">
        <v>186</v>
      </c>
    </row>
    <row r="76" spans="1:6" x14ac:dyDescent="0.2">
      <c r="A76">
        <v>7</v>
      </c>
      <c r="B76" t="s">
        <v>187</v>
      </c>
      <c r="C76">
        <v>1</v>
      </c>
      <c r="D76" t="s">
        <v>188</v>
      </c>
      <c r="E76" t="s">
        <v>189</v>
      </c>
      <c r="F76" t="s">
        <v>190</v>
      </c>
    </row>
    <row r="77" spans="1:6" x14ac:dyDescent="0.2">
      <c r="A77">
        <v>8</v>
      </c>
      <c r="B77" t="s">
        <v>191</v>
      </c>
      <c r="C77" t="s">
        <v>192</v>
      </c>
      <c r="D77" t="s">
        <v>193</v>
      </c>
      <c r="E77" t="s">
        <v>194</v>
      </c>
      <c r="F77" t="s">
        <v>195</v>
      </c>
    </row>
    <row r="78" spans="1:6" x14ac:dyDescent="0.2">
      <c r="B78" s="18" t="s">
        <v>196</v>
      </c>
      <c r="F78" s="18" t="s">
        <v>197</v>
      </c>
    </row>
    <row r="79" spans="1:6" x14ac:dyDescent="0.2">
      <c r="B79" t="s">
        <v>198</v>
      </c>
      <c r="C79" t="s">
        <v>199</v>
      </c>
      <c r="F79" s="18" t="s">
        <v>200</v>
      </c>
    </row>
    <row r="81" spans="1:5" ht="15" x14ac:dyDescent="0.25">
      <c r="A81" s="28" t="s">
        <v>201</v>
      </c>
      <c r="B81" s="29"/>
      <c r="C81" s="29"/>
      <c r="D81" s="29"/>
      <c r="E81" s="29"/>
    </row>
    <row r="82" spans="1:5" x14ac:dyDescent="0.2">
      <c r="A82" t="s">
        <v>202</v>
      </c>
    </row>
    <row r="83" spans="1:5" x14ac:dyDescent="0.2">
      <c r="A83" t="s">
        <v>203</v>
      </c>
    </row>
    <row r="84" spans="1:5" x14ac:dyDescent="0.2">
      <c r="A84" t="s">
        <v>204</v>
      </c>
    </row>
    <row r="85" spans="1:5" x14ac:dyDescent="0.2">
      <c r="A85" t="s">
        <v>205</v>
      </c>
    </row>
    <row r="86" spans="1:5" x14ac:dyDescent="0.2">
      <c r="A86" t="s">
        <v>206</v>
      </c>
    </row>
    <row r="87" spans="1:5" x14ac:dyDescent="0.2">
      <c r="A87" t="s">
        <v>207</v>
      </c>
    </row>
    <row r="88" spans="1:5" x14ac:dyDescent="0.2">
      <c r="A88" t="s">
        <v>208</v>
      </c>
    </row>
    <row r="89" spans="1:5" x14ac:dyDescent="0.2">
      <c r="A89" t="s">
        <v>209</v>
      </c>
    </row>
    <row r="90" spans="1:5" x14ac:dyDescent="0.2">
      <c r="A90" t="s">
        <v>210</v>
      </c>
    </row>
    <row r="91" spans="1:5" x14ac:dyDescent="0.2">
      <c r="A91" t="s">
        <v>211</v>
      </c>
    </row>
    <row r="94" spans="1:5" ht="18" x14ac:dyDescent="0.25">
      <c r="A94" s="30" t="s">
        <v>212</v>
      </c>
    </row>
    <row r="95" spans="1:5" x14ac:dyDescent="0.2">
      <c r="A95" s="2" t="s">
        <v>213</v>
      </c>
    </row>
    <row r="97" spans="1:1" x14ac:dyDescent="0.2">
      <c r="A97" s="31" t="s">
        <v>214</v>
      </c>
    </row>
    <row r="98" spans="1:1" x14ac:dyDescent="0.2">
      <c r="A98" t="s">
        <v>215</v>
      </c>
    </row>
    <row r="99" spans="1:1" x14ac:dyDescent="0.2">
      <c r="A99" s="32" t="s">
        <v>216</v>
      </c>
    </row>
    <row r="100" spans="1:1" x14ac:dyDescent="0.2">
      <c r="A100" t="s">
        <v>217</v>
      </c>
    </row>
    <row r="102" spans="1:1" x14ac:dyDescent="0.2">
      <c r="A102" s="31" t="s">
        <v>218</v>
      </c>
    </row>
    <row r="103" spans="1:1" x14ac:dyDescent="0.2">
      <c r="A103" t="s">
        <v>219</v>
      </c>
    </row>
    <row r="104" spans="1:1" x14ac:dyDescent="0.2">
      <c r="A104" t="s">
        <v>220</v>
      </c>
    </row>
    <row r="105" spans="1:1" x14ac:dyDescent="0.2">
      <c r="A105" t="s">
        <v>221</v>
      </c>
    </row>
    <row r="107" spans="1:1" x14ac:dyDescent="0.2">
      <c r="A107" s="31" t="s">
        <v>222</v>
      </c>
    </row>
    <row r="108" spans="1:1" x14ac:dyDescent="0.2">
      <c r="A108" t="s">
        <v>223</v>
      </c>
    </row>
    <row r="109" spans="1:1" x14ac:dyDescent="0.2">
      <c r="A109" t="s">
        <v>224</v>
      </c>
    </row>
    <row r="110" spans="1:1" x14ac:dyDescent="0.2">
      <c r="A110" t="s">
        <v>225</v>
      </c>
    </row>
    <row r="112" spans="1:1" x14ac:dyDescent="0.2">
      <c r="A112" s="31" t="s">
        <v>226</v>
      </c>
    </row>
    <row r="113" spans="1:1" x14ac:dyDescent="0.2">
      <c r="A113" t="s">
        <v>227</v>
      </c>
    </row>
    <row r="114" spans="1:1" x14ac:dyDescent="0.2">
      <c r="A114" t="s">
        <v>228</v>
      </c>
    </row>
    <row r="116" spans="1:1" x14ac:dyDescent="0.2">
      <c r="A116" s="31" t="s">
        <v>229</v>
      </c>
    </row>
    <row r="117" spans="1:1" x14ac:dyDescent="0.2">
      <c r="A117" t="s">
        <v>230</v>
      </c>
    </row>
    <row r="118" spans="1:1" x14ac:dyDescent="0.2">
      <c r="A118" t="s">
        <v>231</v>
      </c>
    </row>
    <row r="119" spans="1:1" x14ac:dyDescent="0.2">
      <c r="A119" t="s">
        <v>232</v>
      </c>
    </row>
    <row r="121" spans="1:1" x14ac:dyDescent="0.2">
      <c r="A121" s="31" t="s">
        <v>233</v>
      </c>
    </row>
    <row r="122" spans="1:1" x14ac:dyDescent="0.2">
      <c r="A122" t="s">
        <v>234</v>
      </c>
    </row>
    <row r="126" spans="1:1" ht="18" x14ac:dyDescent="0.25">
      <c r="A126" s="33" t="s">
        <v>235</v>
      </c>
    </row>
    <row r="127" spans="1:1" x14ac:dyDescent="0.2">
      <c r="A127" s="2" t="s">
        <v>236</v>
      </c>
    </row>
    <row r="129" spans="1:1" x14ac:dyDescent="0.2">
      <c r="A129" s="34" t="s">
        <v>237</v>
      </c>
    </row>
    <row r="130" spans="1:1" x14ac:dyDescent="0.2">
      <c r="A130" s="35" t="s">
        <v>238</v>
      </c>
    </row>
    <row r="131" spans="1:1" x14ac:dyDescent="0.2">
      <c r="A131" t="s">
        <v>239</v>
      </c>
    </row>
    <row r="132" spans="1:1" x14ac:dyDescent="0.2">
      <c r="A132" t="s">
        <v>240</v>
      </c>
    </row>
    <row r="134" spans="1:1" x14ac:dyDescent="0.2">
      <c r="A134" s="34" t="s">
        <v>241</v>
      </c>
    </row>
    <row r="135" spans="1:1" x14ac:dyDescent="0.2">
      <c r="A135" s="35" t="s">
        <v>242</v>
      </c>
    </row>
    <row r="136" spans="1:1" x14ac:dyDescent="0.2">
      <c r="A136" t="s">
        <v>243</v>
      </c>
    </row>
    <row r="137" spans="1:1" x14ac:dyDescent="0.2">
      <c r="A137" t="s">
        <v>244</v>
      </c>
    </row>
    <row r="139" spans="1:1" x14ac:dyDescent="0.2">
      <c r="A139" s="34" t="s">
        <v>245</v>
      </c>
    </row>
    <row r="140" spans="1:1" x14ac:dyDescent="0.2">
      <c r="A140" s="35" t="s">
        <v>246</v>
      </c>
    </row>
    <row r="141" spans="1:1" x14ac:dyDescent="0.2">
      <c r="A141" t="s">
        <v>247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Ocarina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Koop</dc:creator>
  <cp:lastModifiedBy>Tony Koop</cp:lastModifiedBy>
  <dcterms:created xsi:type="dcterms:W3CDTF">2026-05-02T08:58:50Z</dcterms:created>
  <dcterms:modified xsi:type="dcterms:W3CDTF">2026-05-02T08:59:36Z</dcterms:modified>
</cp:coreProperties>
</file>